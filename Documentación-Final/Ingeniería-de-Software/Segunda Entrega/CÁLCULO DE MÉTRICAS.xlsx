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ODOS" sheetId="1" r:id="rId4"/>
    <sheet state="visible" name="TABLA DE PONDERACIÓN" sheetId="2" r:id="rId5"/>
    <sheet state="visible" name="FACTOR DE AJUSTE" sheetId="3" r:id="rId6"/>
    <sheet state="visible" name="CÁLCULO" sheetId="4" r:id="rId7"/>
  </sheets>
  <definedNames/>
  <calcPr/>
</workbook>
</file>

<file path=xl/sharedStrings.xml><?xml version="1.0" encoding="utf-8"?>
<sst xmlns="http://schemas.openxmlformats.org/spreadsheetml/2006/main" count="106" uniqueCount="62">
  <si>
    <t>MÉTODOS A UTILIZAR</t>
  </si>
  <si>
    <t>JUGADORES</t>
  </si>
  <si>
    <t>Usuario</t>
  </si>
  <si>
    <t>Recinto</t>
  </si>
  <si>
    <t xml:space="preserve">NOMBRE </t>
  </si>
  <si>
    <t>TIPO DE MÉTODO</t>
  </si>
  <si>
    <t>PRIORIDAD</t>
  </si>
  <si>
    <t>Registrar jugador</t>
  </si>
  <si>
    <t>ENTRADA</t>
  </si>
  <si>
    <t>BAJA</t>
  </si>
  <si>
    <t>Registrar usuario</t>
  </si>
  <si>
    <t>MEDIA</t>
  </si>
  <si>
    <t>Obtener descripción</t>
  </si>
  <si>
    <t>CONSULTA</t>
  </si>
  <si>
    <t>Eliminar jugador</t>
  </si>
  <si>
    <t>Eliminar usuario</t>
  </si>
  <si>
    <t>Obtener limite figura</t>
  </si>
  <si>
    <t>Consultar datos de jugador</t>
  </si>
  <si>
    <t>Consultar usuarios</t>
  </si>
  <si>
    <t>Listar todos los jugadores</t>
  </si>
  <si>
    <t>SALIDA</t>
  </si>
  <si>
    <t>Modificar usuario</t>
  </si>
  <si>
    <t>PARTIDAS</t>
  </si>
  <si>
    <t>Estadisticas/puntos</t>
  </si>
  <si>
    <t>Crear partidas</t>
  </si>
  <si>
    <t>Consultar estadisticas de un jugador</t>
  </si>
  <si>
    <t>Fin partida</t>
  </si>
  <si>
    <t>Listar estadisticas de los jugadores</t>
  </si>
  <si>
    <t>Eliminar partida</t>
  </si>
  <si>
    <t>Consultar partida</t>
  </si>
  <si>
    <t>Listar todas las partidas</t>
  </si>
  <si>
    <t>TABLA DE PONDERACIÓN</t>
  </si>
  <si>
    <t>ALTA</t>
  </si>
  <si>
    <t>TOTAL</t>
  </si>
  <si>
    <t>ENTRADAS</t>
  </si>
  <si>
    <t>SALIDAS</t>
  </si>
  <si>
    <t>CONSULTAS</t>
  </si>
  <si>
    <t>AIE</t>
  </si>
  <si>
    <t>ALI</t>
  </si>
  <si>
    <t>PUNTO DE FUNCIÓN SIN AJUSTAR</t>
  </si>
  <si>
    <t>FACTOR DE AJUSTE</t>
  </si>
  <si>
    <t>PREGUNTAS</t>
  </si>
  <si>
    <t>PUNTAJE</t>
  </si>
  <si>
    <t>Copias y recuperación</t>
  </si>
  <si>
    <t>Integración con otros sistemas</t>
  </si>
  <si>
    <t>Módulos distribuidos</t>
  </si>
  <si>
    <t>Alta velocidad/rendimiento</t>
  </si>
  <si>
    <t>Infraestructura compartida</t>
  </si>
  <si>
    <t>Ingreso directo de datos</t>
  </si>
  <si>
    <t>Ingreso en etapas</t>
  </si>
  <si>
    <t>Archivos maestros modificables</t>
  </si>
  <si>
    <t>Interfaz/flujo complejo</t>
  </si>
  <si>
    <t>Reglas internas complejas</t>
  </si>
  <si>
    <t>Código reutilizable</t>
  </si>
  <si>
    <t>Migración e instalación</t>
  </si>
  <si>
    <t>Multientidad/multiempresa</t>
  </si>
  <si>
    <t>Adaptabilidad futura</t>
  </si>
  <si>
    <t>CÁLCULO</t>
  </si>
  <si>
    <t>PUNTO DE FUNCION AJUSTADO</t>
  </si>
  <si>
    <t>ESFUERZO</t>
  </si>
  <si>
    <t xml:space="preserve"> </t>
  </si>
  <si>
    <t>CANTIDAD DE MESES DE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</si>
</sst>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42.0"/>
      <color theme="1"/>
      <name val="Arial"/>
      <scheme val="minor"/>
    </font>
    <font/>
    <font>
      <sz val="25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41.0"/>
      <color theme="1"/>
      <name val="Arial"/>
      <scheme val="minor"/>
    </font>
    <font>
      <sz val="12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9" fillId="0" fontId="4" numFmtId="0" xfId="0" applyAlignment="1" applyBorder="1" applyFont="1">
      <alignment readingOrder="0"/>
    </xf>
    <xf borderId="9" fillId="4" fontId="4" numFmtId="0" xfId="0" applyAlignment="1" applyBorder="1" applyFill="1" applyFont="1">
      <alignment readingOrder="0"/>
    </xf>
    <xf borderId="9" fillId="5" fontId="4" numFmtId="0" xfId="0" applyAlignment="1" applyBorder="1" applyFill="1" applyFont="1">
      <alignment readingOrder="0"/>
    </xf>
    <xf borderId="0" fillId="0" fontId="4" numFmtId="0" xfId="0" applyAlignment="1" applyFont="1">
      <alignment readingOrder="0" shrinkToFit="0" wrapText="1"/>
    </xf>
    <xf borderId="1" fillId="6" fontId="3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9" fillId="7" fontId="4" numFmtId="0" xfId="0" applyAlignment="1" applyBorder="1" applyFill="1" applyFont="1">
      <alignment readingOrder="0"/>
    </xf>
    <xf borderId="9" fillId="8" fontId="4" numFmtId="0" xfId="0" applyAlignment="1" applyBorder="1" applyFill="1" applyFont="1">
      <alignment readingOrder="0"/>
    </xf>
    <xf borderId="9" fillId="9" fontId="4" numFmtId="0" xfId="0" applyAlignment="1" applyBorder="1" applyFill="1" applyFont="1">
      <alignment readingOrder="0"/>
    </xf>
    <xf borderId="9" fillId="9" fontId="4" numFmtId="0" xfId="0" applyBorder="1" applyFont="1"/>
    <xf borderId="9" fillId="10" fontId="4" numFmtId="0" xfId="0" applyBorder="1" applyFill="1" applyFont="1"/>
    <xf borderId="1" fillId="11" fontId="5" numFmtId="0" xfId="0" applyAlignment="1" applyBorder="1" applyFill="1" applyFont="1">
      <alignment readingOrder="0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9" fillId="12" fontId="4" numFmtId="0" xfId="0" applyAlignment="1" applyBorder="1" applyFill="1" applyFont="1">
      <alignment readingOrder="0"/>
    </xf>
    <xf borderId="9" fillId="13" fontId="7" numFmtId="0" xfId="0" applyAlignment="1" applyBorder="1" applyFill="1" applyFont="1">
      <alignment horizontal="center" readingOrder="0" shrinkToFit="0" wrapText="1"/>
    </xf>
    <xf borderId="1" fillId="11" fontId="5" numFmtId="0" xfId="0" applyAlignment="1" applyBorder="1" applyFont="1">
      <alignment horizontal="center" readingOrder="0" shrinkToFit="0" vertical="center" wrapText="1"/>
    </xf>
    <xf borderId="9" fillId="14" fontId="4" numFmtId="0" xfId="0" applyBorder="1" applyFill="1" applyFont="1"/>
    <xf borderId="10" fillId="0" fontId="6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7.0"/>
    <col customWidth="1" min="6" max="6" width="31.5"/>
    <col customWidth="1" min="7" max="7" width="20.13"/>
  </cols>
  <sheetData>
    <row r="1">
      <c r="C1" s="1" t="s">
        <v>0</v>
      </c>
      <c r="D1" s="2"/>
      <c r="E1" s="2"/>
      <c r="F1" s="2"/>
      <c r="G1" s="3"/>
    </row>
    <row r="2">
      <c r="C2" s="4"/>
      <c r="G2" s="5"/>
    </row>
    <row r="3">
      <c r="C3" s="6"/>
      <c r="D3" s="7"/>
      <c r="E3" s="7"/>
      <c r="F3" s="7"/>
      <c r="G3" s="8"/>
    </row>
    <row r="5">
      <c r="A5" s="9" t="s">
        <v>1</v>
      </c>
      <c r="B5" s="2"/>
      <c r="C5" s="3"/>
      <c r="F5" s="10" t="s">
        <v>2</v>
      </c>
      <c r="G5" s="2"/>
      <c r="H5" s="3"/>
      <c r="J5" s="10" t="s">
        <v>3</v>
      </c>
      <c r="K5" s="2"/>
      <c r="L5" s="3"/>
    </row>
    <row r="6">
      <c r="A6" s="6"/>
      <c r="B6" s="7"/>
      <c r="C6" s="8"/>
      <c r="F6" s="6"/>
      <c r="G6" s="7"/>
      <c r="H6" s="8"/>
      <c r="J6" s="6"/>
      <c r="K6" s="7"/>
      <c r="L6" s="8"/>
    </row>
    <row r="7">
      <c r="A7" s="11" t="s">
        <v>4</v>
      </c>
      <c r="B7" s="11" t="s">
        <v>5</v>
      </c>
      <c r="C7" s="11" t="s">
        <v>6</v>
      </c>
      <c r="F7" s="12" t="s">
        <v>4</v>
      </c>
      <c r="G7" s="12" t="s">
        <v>5</v>
      </c>
      <c r="H7" s="12" t="s">
        <v>6</v>
      </c>
      <c r="J7" s="12" t="s">
        <v>4</v>
      </c>
      <c r="K7" s="12" t="s">
        <v>5</v>
      </c>
      <c r="L7" s="12" t="s">
        <v>6</v>
      </c>
    </row>
    <row r="8">
      <c r="A8" s="11" t="s">
        <v>7</v>
      </c>
      <c r="B8" s="11" t="s">
        <v>8</v>
      </c>
      <c r="C8" s="11" t="s">
        <v>9</v>
      </c>
      <c r="F8" s="13" t="s">
        <v>10</v>
      </c>
      <c r="G8" s="13" t="s">
        <v>8</v>
      </c>
      <c r="H8" s="13" t="s">
        <v>11</v>
      </c>
      <c r="J8" s="13" t="s">
        <v>12</v>
      </c>
      <c r="K8" s="13" t="s">
        <v>13</v>
      </c>
      <c r="L8" s="13" t="s">
        <v>11</v>
      </c>
    </row>
    <row r="9">
      <c r="A9" s="11" t="s">
        <v>14</v>
      </c>
      <c r="B9" s="11" t="s">
        <v>8</v>
      </c>
      <c r="C9" s="11" t="s">
        <v>9</v>
      </c>
      <c r="F9" s="13" t="s">
        <v>15</v>
      </c>
      <c r="G9" s="13" t="s">
        <v>8</v>
      </c>
      <c r="H9" s="13" t="s">
        <v>9</v>
      </c>
      <c r="J9" s="13" t="s">
        <v>16</v>
      </c>
      <c r="K9" s="13" t="s">
        <v>13</v>
      </c>
      <c r="L9" s="13" t="s">
        <v>9</v>
      </c>
    </row>
    <row r="10">
      <c r="A10" s="11" t="s">
        <v>17</v>
      </c>
      <c r="B10" s="11" t="s">
        <v>13</v>
      </c>
      <c r="C10" s="11" t="s">
        <v>9</v>
      </c>
      <c r="F10" s="13" t="s">
        <v>18</v>
      </c>
      <c r="G10" s="13" t="s">
        <v>13</v>
      </c>
      <c r="H10" s="13" t="s">
        <v>11</v>
      </c>
      <c r="J10" s="13"/>
      <c r="K10" s="13"/>
      <c r="L10" s="13"/>
    </row>
    <row r="11">
      <c r="A11" s="11" t="s">
        <v>19</v>
      </c>
      <c r="B11" s="11" t="s">
        <v>20</v>
      </c>
      <c r="C11" s="11" t="s">
        <v>11</v>
      </c>
      <c r="F11" s="13" t="s">
        <v>21</v>
      </c>
      <c r="G11" s="13" t="s">
        <v>20</v>
      </c>
      <c r="H11" s="13" t="s">
        <v>11</v>
      </c>
      <c r="J11" s="13"/>
      <c r="K11" s="13"/>
      <c r="L11" s="13"/>
    </row>
    <row r="14">
      <c r="A14" s="10" t="s">
        <v>22</v>
      </c>
      <c r="B14" s="2"/>
      <c r="C14" s="3"/>
      <c r="F14" s="10" t="s">
        <v>23</v>
      </c>
      <c r="G14" s="2"/>
      <c r="H14" s="3"/>
    </row>
    <row r="15">
      <c r="A15" s="6"/>
      <c r="B15" s="7"/>
      <c r="C15" s="8"/>
      <c r="F15" s="6"/>
      <c r="G15" s="7"/>
      <c r="H15" s="8"/>
    </row>
    <row r="16">
      <c r="A16" s="12" t="s">
        <v>4</v>
      </c>
      <c r="B16" s="12" t="s">
        <v>5</v>
      </c>
      <c r="C16" s="12" t="s">
        <v>6</v>
      </c>
      <c r="F16" s="12" t="s">
        <v>4</v>
      </c>
      <c r="G16" s="12" t="s">
        <v>5</v>
      </c>
      <c r="H16" s="12" t="s">
        <v>6</v>
      </c>
    </row>
    <row r="17">
      <c r="A17" s="13" t="s">
        <v>24</v>
      </c>
      <c r="B17" s="13" t="s">
        <v>8</v>
      </c>
      <c r="C17" s="13" t="s">
        <v>9</v>
      </c>
      <c r="F17" s="13" t="s">
        <v>25</v>
      </c>
      <c r="G17" s="13" t="s">
        <v>13</v>
      </c>
      <c r="H17" s="13" t="s">
        <v>11</v>
      </c>
    </row>
    <row r="18">
      <c r="A18" s="13" t="s">
        <v>26</v>
      </c>
      <c r="B18" s="13" t="s">
        <v>8</v>
      </c>
      <c r="C18" s="13" t="s">
        <v>9</v>
      </c>
      <c r="F18" s="13" t="s">
        <v>27</v>
      </c>
      <c r="G18" s="13" t="s">
        <v>20</v>
      </c>
      <c r="H18" s="13" t="s">
        <v>11</v>
      </c>
    </row>
    <row r="19">
      <c r="A19" s="13" t="s">
        <v>28</v>
      </c>
      <c r="B19" s="13" t="s">
        <v>8</v>
      </c>
      <c r="C19" s="13" t="s">
        <v>9</v>
      </c>
      <c r="F19" s="11"/>
      <c r="G19" s="11"/>
      <c r="H19" s="11"/>
    </row>
    <row r="20">
      <c r="A20" s="13" t="s">
        <v>29</v>
      </c>
      <c r="B20" s="13" t="s">
        <v>13</v>
      </c>
      <c r="C20" s="13" t="s">
        <v>11</v>
      </c>
    </row>
    <row r="21">
      <c r="A21" s="13" t="s">
        <v>30</v>
      </c>
      <c r="B21" s="13" t="s">
        <v>20</v>
      </c>
      <c r="C21" s="13" t="s">
        <v>9</v>
      </c>
    </row>
    <row r="24">
      <c r="D24" s="14"/>
    </row>
  </sheetData>
  <mergeCells count="7">
    <mergeCell ref="C1:G3"/>
    <mergeCell ref="A5:C6"/>
    <mergeCell ref="F5:H6"/>
    <mergeCell ref="J5:L6"/>
    <mergeCell ref="A14:C15"/>
    <mergeCell ref="F14:H15"/>
    <mergeCell ref="D24:E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5" t="s">
        <v>31</v>
      </c>
      <c r="D1" s="2"/>
      <c r="E1" s="2"/>
      <c r="F1" s="2"/>
      <c r="G1" s="3"/>
    </row>
    <row r="2">
      <c r="C2" s="4"/>
      <c r="G2" s="5"/>
    </row>
    <row r="3">
      <c r="C3" s="6"/>
      <c r="D3" s="7"/>
      <c r="E3" s="7"/>
      <c r="F3" s="7"/>
      <c r="G3" s="8"/>
    </row>
    <row r="4">
      <c r="A4" s="16"/>
      <c r="B4" s="17" t="s">
        <v>9</v>
      </c>
      <c r="C4" s="17" t="s">
        <v>11</v>
      </c>
      <c r="D4" s="17" t="s">
        <v>32</v>
      </c>
      <c r="E4" s="17" t="s">
        <v>33</v>
      </c>
    </row>
    <row r="5">
      <c r="A5" s="18" t="s">
        <v>34</v>
      </c>
      <c r="B5" s="19">
        <v>6.0</v>
      </c>
      <c r="C5" s="19">
        <v>1.0</v>
      </c>
      <c r="D5" s="19">
        <v>0.0</v>
      </c>
      <c r="E5" s="20">
        <f>(B5*3)+(C5*4)+(D5*6)</f>
        <v>22</v>
      </c>
    </row>
    <row r="6">
      <c r="A6" s="18" t="s">
        <v>35</v>
      </c>
      <c r="B6" s="19">
        <v>1.0</v>
      </c>
      <c r="C6" s="19">
        <v>3.0</v>
      </c>
      <c r="D6" s="19">
        <v>0.0</v>
      </c>
      <c r="E6" s="20">
        <f>(B6*4)+(C6*5)+(D6*7)</f>
        <v>19</v>
      </c>
    </row>
    <row r="7">
      <c r="A7" s="18" t="s">
        <v>36</v>
      </c>
      <c r="B7" s="19">
        <v>2.0</v>
      </c>
      <c r="C7" s="19">
        <v>4.0</v>
      </c>
      <c r="D7" s="19">
        <v>0.0</v>
      </c>
      <c r="E7" s="20">
        <f>(B7*3)+(C7*4)+(D7*6)</f>
        <v>22</v>
      </c>
    </row>
    <row r="8">
      <c r="A8" s="18" t="s">
        <v>37</v>
      </c>
      <c r="B8" s="19">
        <v>0.0</v>
      </c>
      <c r="C8" s="19">
        <v>0.0</v>
      </c>
      <c r="D8" s="19">
        <v>0.0</v>
      </c>
      <c r="E8" s="20">
        <f>(B8*5)+(C8*7)+(D8*10)</f>
        <v>0</v>
      </c>
    </row>
    <row r="9">
      <c r="A9" s="18" t="s">
        <v>38</v>
      </c>
      <c r="B9" s="19">
        <v>0.0</v>
      </c>
      <c r="C9" s="19">
        <v>0.0</v>
      </c>
      <c r="D9" s="19">
        <v>0.0</v>
      </c>
      <c r="E9" s="20">
        <f>(B9*7)+(C9*10)+(D9*15)</f>
        <v>0</v>
      </c>
    </row>
    <row r="10">
      <c r="E10" s="21">
        <f>SUM(E5:E9)</f>
        <v>63</v>
      </c>
    </row>
    <row r="13">
      <c r="D13" s="22" t="s">
        <v>39</v>
      </c>
      <c r="E13" s="2"/>
      <c r="F13" s="3"/>
      <c r="G13" s="23">
        <f>E10</f>
        <v>63</v>
      </c>
    </row>
    <row r="14">
      <c r="D14" s="4"/>
      <c r="F14" s="5"/>
      <c r="G14" s="24"/>
    </row>
    <row r="15">
      <c r="D15" s="6"/>
      <c r="E15" s="7"/>
      <c r="F15" s="8"/>
      <c r="G15" s="25"/>
    </row>
  </sheetData>
  <mergeCells count="3">
    <mergeCell ref="C1:G3"/>
    <mergeCell ref="D13:F15"/>
    <mergeCell ref="G13:G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C1" s="15" t="s">
        <v>40</v>
      </c>
      <c r="D1" s="2"/>
      <c r="E1" s="2"/>
      <c r="F1" s="2"/>
      <c r="G1" s="3"/>
    </row>
    <row r="2">
      <c r="C2" s="4"/>
      <c r="G2" s="5"/>
    </row>
    <row r="3">
      <c r="C3" s="6"/>
      <c r="D3" s="7"/>
      <c r="E3" s="7"/>
      <c r="F3" s="7"/>
      <c r="G3" s="8"/>
    </row>
    <row r="4">
      <c r="A4" s="26" t="s">
        <v>41</v>
      </c>
      <c r="B4" s="26" t="s">
        <v>42</v>
      </c>
    </row>
    <row r="5">
      <c r="A5" s="27" t="s">
        <v>43</v>
      </c>
      <c r="B5" s="27">
        <v>5.0</v>
      </c>
    </row>
    <row r="6">
      <c r="A6" s="27" t="s">
        <v>44</v>
      </c>
      <c r="B6" s="27">
        <v>4.0</v>
      </c>
    </row>
    <row r="7">
      <c r="A7" s="27" t="s">
        <v>45</v>
      </c>
      <c r="B7" s="27">
        <v>3.0</v>
      </c>
    </row>
    <row r="8">
      <c r="A8" s="27" t="s">
        <v>46</v>
      </c>
      <c r="B8" s="27">
        <v>4.0</v>
      </c>
    </row>
    <row r="9">
      <c r="A9" s="27" t="s">
        <v>47</v>
      </c>
      <c r="B9" s="27">
        <v>3.0</v>
      </c>
    </row>
    <row r="10">
      <c r="A10" s="27" t="s">
        <v>48</v>
      </c>
      <c r="B10" s="27">
        <v>5.0</v>
      </c>
      <c r="E10" s="28" t="s">
        <v>40</v>
      </c>
      <c r="F10" s="2"/>
      <c r="G10" s="3"/>
      <c r="H10" s="23">
        <f>B19</f>
        <v>54</v>
      </c>
    </row>
    <row r="11">
      <c r="A11" s="27" t="s">
        <v>49</v>
      </c>
      <c r="B11" s="27">
        <v>3.0</v>
      </c>
      <c r="E11" s="4"/>
      <c r="G11" s="5"/>
      <c r="H11" s="24"/>
    </row>
    <row r="12">
      <c r="A12" s="27" t="s">
        <v>50</v>
      </c>
      <c r="B12" s="27">
        <v>5.0</v>
      </c>
      <c r="E12" s="6"/>
      <c r="F12" s="7"/>
      <c r="G12" s="8"/>
      <c r="H12" s="25"/>
    </row>
    <row r="13">
      <c r="A13" s="27" t="s">
        <v>51</v>
      </c>
      <c r="B13" s="27">
        <v>4.0</v>
      </c>
    </row>
    <row r="14">
      <c r="A14" s="27" t="s">
        <v>52</v>
      </c>
      <c r="B14" s="27">
        <v>4.0</v>
      </c>
    </row>
    <row r="15">
      <c r="A15" s="27" t="s">
        <v>53</v>
      </c>
      <c r="B15" s="27">
        <v>3.0</v>
      </c>
    </row>
    <row r="16">
      <c r="A16" s="27" t="s">
        <v>54</v>
      </c>
      <c r="B16" s="27">
        <v>4.0</v>
      </c>
    </row>
    <row r="17">
      <c r="A17" s="27" t="s">
        <v>55</v>
      </c>
      <c r="B17" s="27">
        <v>2.0</v>
      </c>
    </row>
    <row r="18">
      <c r="A18" s="27" t="s">
        <v>56</v>
      </c>
      <c r="B18" s="27">
        <v>5.0</v>
      </c>
    </row>
    <row r="19">
      <c r="B19" s="29">
        <f>SUM(B5:B18)</f>
        <v>54</v>
      </c>
    </row>
  </sheetData>
  <mergeCells count="3">
    <mergeCell ref="C1:G3"/>
    <mergeCell ref="E10:G12"/>
    <mergeCell ref="H10:H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C1" s="15" t="s">
        <v>57</v>
      </c>
      <c r="D1" s="2"/>
      <c r="E1" s="2"/>
      <c r="F1" s="2"/>
      <c r="G1" s="3"/>
    </row>
    <row r="2">
      <c r="C2" s="4"/>
      <c r="G2" s="5"/>
    </row>
    <row r="3">
      <c r="C3" s="6"/>
      <c r="D3" s="7"/>
      <c r="E3" s="7"/>
      <c r="F3" s="7"/>
      <c r="G3" s="8"/>
    </row>
    <row r="5">
      <c r="A5" s="28" t="s">
        <v>58</v>
      </c>
      <c r="B5" s="2"/>
      <c r="C5" s="3"/>
      <c r="D5" s="30">
        <f>('TABLA DE PONDERACIÓN'!G13)*(0.65+0.01*'FACTOR DE AJUSTE'!H10)</f>
        <v>74.97</v>
      </c>
    </row>
    <row r="6">
      <c r="A6" s="4"/>
      <c r="C6" s="5"/>
      <c r="D6" s="24"/>
    </row>
    <row r="7">
      <c r="A7" s="6"/>
      <c r="B7" s="7"/>
      <c r="C7" s="8"/>
      <c r="D7" s="25"/>
    </row>
    <row r="10">
      <c r="A10" s="28" t="s">
        <v>59</v>
      </c>
      <c r="B10" s="2"/>
      <c r="C10" s="3"/>
      <c r="D10" s="30">
        <f> (D5/150)*D5^0.4</f>
        <v>2.810290764</v>
      </c>
    </row>
    <row r="11">
      <c r="A11" s="4"/>
      <c r="C11" s="5"/>
      <c r="D11" s="24"/>
      <c r="F11" s="31" t="s">
        <v>60</v>
      </c>
    </row>
    <row r="12">
      <c r="A12" s="6"/>
      <c r="B12" s="7"/>
      <c r="C12" s="8"/>
      <c r="D12" s="25"/>
    </row>
    <row r="15">
      <c r="A15" s="28" t="s">
        <v>61</v>
      </c>
      <c r="B15" s="2"/>
      <c r="C15" s="3"/>
      <c r="D15" s="30">
        <f>ROUNDUP(D10,0)</f>
        <v>3</v>
      </c>
    </row>
    <row r="16">
      <c r="A16" s="4"/>
      <c r="C16" s="5"/>
      <c r="D16" s="24"/>
    </row>
    <row r="17">
      <c r="A17" s="6"/>
      <c r="B17" s="7"/>
      <c r="C17" s="8"/>
      <c r="D17" s="25"/>
    </row>
  </sheetData>
  <mergeCells count="7">
    <mergeCell ref="C1:G3"/>
    <mergeCell ref="A5:C7"/>
    <mergeCell ref="D5:D7"/>
    <mergeCell ref="A10:C12"/>
    <mergeCell ref="D10:D12"/>
    <mergeCell ref="A15:C17"/>
    <mergeCell ref="D15:D17"/>
  </mergeCells>
  <drawing r:id="rId1"/>
</worksheet>
</file>